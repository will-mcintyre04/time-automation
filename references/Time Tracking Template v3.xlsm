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J:\6.0 - Designer Folders\Will\Time Study Forms\"/>
    </mc:Choice>
  </mc:AlternateContent>
  <xr:revisionPtr revIDLastSave="0" documentId="13_ncr:1_{1B589848-5598-4301-926C-DDDA9C7173D5}" xr6:coauthVersionLast="47" xr6:coauthVersionMax="47" xr10:uidLastSave="{00000000-0000-0000-0000-000000000000}"/>
  <bookViews>
    <workbookView xWindow="-120" yWindow="-120" windowWidth="29040" windowHeight="15840" xr2:uid="{00000000-000D-0000-FFFF-FFFF00000000}"/>
  </bookViews>
  <sheets>
    <sheet name="Fixture" sheetId="1" r:id="rId1"/>
    <sheet name="Mailing List" sheetId="5" r:id="rId2"/>
    <sheet name="Sheet3" sheetId="4" state="hidden" r:id="rId3"/>
  </sheets>
  <calcPr calcId="191029"/>
  <pivotCaches>
    <pivotCache cacheId="3"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1" l="1"/>
  <c r="D6" i="1"/>
  <c r="D7" i="1"/>
  <c r="D4" i="1"/>
  <c r="J14" i="1" l="1"/>
  <c r="J13" i="1" l="1"/>
  <c r="J15" i="1" s="1"/>
</calcChain>
</file>

<file path=xl/sharedStrings.xml><?xml version="1.0" encoding="utf-8"?>
<sst xmlns="http://schemas.openxmlformats.org/spreadsheetml/2006/main" count="30" uniqueCount="30">
  <si>
    <t>Action</t>
  </si>
  <si>
    <t>Total Time</t>
  </si>
  <si>
    <t>Hotkey</t>
  </si>
  <si>
    <t>Description</t>
  </si>
  <si>
    <t>Time Tracking Template v3</t>
  </si>
  <si>
    <t>Get Time, Move to Next Row</t>
  </si>
  <si>
    <t>Value</t>
  </si>
  <si>
    <t>Delete Current Row</t>
  </si>
  <si>
    <t>Ideal Time</t>
  </si>
  <si>
    <t>Make New Row Below Selected One</t>
  </si>
  <si>
    <t>Refresh Mins Formulas</t>
  </si>
  <si>
    <t>Start Time</t>
  </si>
  <si>
    <t>End Time</t>
  </si>
  <si>
    <t>Ctrl + Shift + t</t>
  </si>
  <si>
    <t>Ctrl + Shift + n</t>
  </si>
  <si>
    <t>Ctrl + Shift + r</t>
  </si>
  <si>
    <t>Ctrl + Shift + d</t>
  </si>
  <si>
    <t>Seconds</t>
  </si>
  <si>
    <t>Comments</t>
  </si>
  <si>
    <t>Category</t>
  </si>
  <si>
    <t>Row Labels</t>
  </si>
  <si>
    <t>Grand Total</t>
  </si>
  <si>
    <t>Sum of Seconds</t>
  </si>
  <si>
    <t>Ideal %</t>
  </si>
  <si>
    <t>(blank)</t>
  </si>
  <si>
    <t>Name</t>
  </si>
  <si>
    <t>Mail ID</t>
  </si>
  <si>
    <t>Will McIntyre</t>
  </si>
  <si>
    <t>WMcIntyre@metalumen.com</t>
  </si>
  <si>
    <r>
      <t xml:space="preserve">This template can be used for time tracking in any production process at Metalumen.  To begin, select the first cell in the </t>
    </r>
    <r>
      <rPr>
        <b/>
        <i/>
        <sz val="10.5"/>
        <color theme="1"/>
        <rFont val="Calibri"/>
        <family val="2"/>
        <scheme val="minor"/>
      </rPr>
      <t>Start Time</t>
    </r>
    <r>
      <rPr>
        <b/>
        <sz val="10.5"/>
        <color theme="1"/>
        <rFont val="Calibri"/>
        <family val="2"/>
        <scheme val="minor"/>
      </rPr>
      <t xml:space="preserve"> </t>
    </r>
    <r>
      <rPr>
        <sz val="10.5"/>
        <color theme="1"/>
        <rFont val="Calibri"/>
        <family val="2"/>
        <scheme val="minor"/>
      </rPr>
      <t xml:space="preserve">column, then hit the blue </t>
    </r>
    <r>
      <rPr>
        <b/>
        <i/>
        <sz val="10.5"/>
        <color theme="1"/>
        <rFont val="Calibri"/>
        <family val="2"/>
        <scheme val="minor"/>
      </rPr>
      <t>Time Stamp</t>
    </r>
    <r>
      <rPr>
        <b/>
        <sz val="10.5"/>
        <color theme="1"/>
        <rFont val="Calibri"/>
        <family val="2"/>
        <scheme val="minor"/>
      </rPr>
      <t xml:space="preserve"> </t>
    </r>
    <r>
      <rPr>
        <sz val="10.5"/>
        <color theme="1"/>
        <rFont val="Calibri"/>
        <family val="2"/>
        <scheme val="minor"/>
      </rPr>
      <t xml:space="preserve">button to the right or left to begin tracking the first action.
When an action is completed, click the </t>
    </r>
    <r>
      <rPr>
        <b/>
        <i/>
        <sz val="10.5"/>
        <color theme="1"/>
        <rFont val="Calibri"/>
        <family val="2"/>
        <scheme val="minor"/>
      </rPr>
      <t>Time Stamp</t>
    </r>
    <r>
      <rPr>
        <sz val="10.5"/>
        <color theme="1"/>
        <rFont val="Calibri"/>
        <family val="2"/>
        <scheme val="minor"/>
      </rPr>
      <t xml:space="preserve"> button again (or use the hotkey seen to the right) to record the end time of one action and the start of another in the </t>
    </r>
    <r>
      <rPr>
        <b/>
        <sz val="10.5"/>
        <color theme="1"/>
        <rFont val="Calibri"/>
        <family val="2"/>
        <scheme val="minor"/>
      </rPr>
      <t>Start Time</t>
    </r>
    <r>
      <rPr>
        <sz val="10.5"/>
        <color theme="1"/>
        <rFont val="Calibri"/>
        <family val="2"/>
        <scheme val="minor"/>
      </rPr>
      <t xml:space="preserve"> column. The time taken for that action (formatted as ss.0) will be automatically calculated. This macro will also automatically move to the next row for the next action. 
After all timing is done (</t>
    </r>
    <r>
      <rPr>
        <b/>
        <sz val="10.5"/>
        <color theme="1"/>
        <rFont val="Calibri"/>
        <family val="2"/>
        <scheme val="minor"/>
      </rPr>
      <t>End Time</t>
    </r>
    <r>
      <rPr>
        <sz val="10.5"/>
        <color theme="1"/>
        <rFont val="Calibri"/>
        <family val="2"/>
        <scheme val="minor"/>
      </rPr>
      <t xml:space="preserve"> cell has a value), update the table accordingly (see descriptions to right on the hotkeys to do this). Also, add either "</t>
    </r>
    <r>
      <rPr>
        <b/>
        <sz val="10.5"/>
        <color theme="1"/>
        <rFont val="Calibri"/>
        <family val="2"/>
        <scheme val="minor"/>
      </rPr>
      <t>NVA</t>
    </r>
    <r>
      <rPr>
        <sz val="10.5"/>
        <color theme="1"/>
        <rFont val="Calibri"/>
        <family val="2"/>
        <scheme val="minor"/>
      </rPr>
      <t>" or "</t>
    </r>
    <r>
      <rPr>
        <b/>
        <sz val="10.5"/>
        <color theme="1"/>
        <rFont val="Calibri"/>
        <family val="2"/>
        <scheme val="minor"/>
      </rPr>
      <t>VA</t>
    </r>
    <r>
      <rPr>
        <sz val="10.5"/>
        <color theme="1"/>
        <rFont val="Calibri"/>
        <family val="2"/>
        <scheme val="minor"/>
      </rPr>
      <t xml:space="preserve">" into the </t>
    </r>
    <r>
      <rPr>
        <b/>
        <i/>
        <sz val="10.5"/>
        <color theme="1"/>
        <rFont val="Calibri"/>
        <family val="2"/>
        <scheme val="minor"/>
      </rPr>
      <t>Value</t>
    </r>
    <r>
      <rPr>
        <sz val="10.5"/>
        <color theme="1"/>
        <rFont val="Calibri"/>
        <family val="2"/>
        <scheme val="minor"/>
      </rPr>
      <t xml:space="preserve"> column for each step to describe whether this step is </t>
    </r>
    <r>
      <rPr>
        <b/>
        <sz val="10.5"/>
        <color theme="1"/>
        <rFont val="Calibri"/>
        <family val="2"/>
        <scheme val="minor"/>
      </rPr>
      <t>V</t>
    </r>
    <r>
      <rPr>
        <sz val="10.5"/>
        <color theme="1"/>
        <rFont val="Calibri"/>
        <family val="2"/>
        <scheme val="minor"/>
      </rPr>
      <t xml:space="preserve">alue </t>
    </r>
    <r>
      <rPr>
        <b/>
        <sz val="10.5"/>
        <color theme="1"/>
        <rFont val="Calibri"/>
        <family val="2"/>
        <scheme val="minor"/>
      </rPr>
      <t>A</t>
    </r>
    <r>
      <rPr>
        <sz val="10.5"/>
        <color theme="1"/>
        <rFont val="Calibri"/>
        <family val="2"/>
        <scheme val="minor"/>
      </rPr>
      <t xml:space="preserve">dded or </t>
    </r>
    <r>
      <rPr>
        <b/>
        <sz val="10.5"/>
        <color theme="1"/>
        <rFont val="Calibri"/>
        <family val="2"/>
        <scheme val="minor"/>
      </rPr>
      <t>N</t>
    </r>
    <r>
      <rPr>
        <sz val="10.5"/>
        <color theme="1"/>
        <rFont val="Calibri"/>
        <family val="2"/>
        <scheme val="minor"/>
      </rPr>
      <t xml:space="preserve">on </t>
    </r>
    <r>
      <rPr>
        <b/>
        <sz val="10.5"/>
        <color theme="1"/>
        <rFont val="Calibri"/>
        <family val="2"/>
        <scheme val="minor"/>
      </rPr>
      <t>V</t>
    </r>
    <r>
      <rPr>
        <sz val="10.5"/>
        <color theme="1"/>
        <rFont val="Calibri"/>
        <family val="2"/>
        <scheme val="minor"/>
      </rPr>
      <t xml:space="preserve">alue </t>
    </r>
    <r>
      <rPr>
        <b/>
        <sz val="10.5"/>
        <color theme="1"/>
        <rFont val="Calibri"/>
        <family val="2"/>
        <scheme val="minor"/>
      </rPr>
      <t>A</t>
    </r>
    <r>
      <rPr>
        <sz val="10.5"/>
        <color theme="1"/>
        <rFont val="Calibri"/>
        <family val="2"/>
        <scheme val="minor"/>
      </rPr>
      <t>dded.  Additionlly, if desired, assign a category for each action to group them together for further analysis. Check out the documentation link below to see automation steps for the creation of this spreadhsheet and folder, and draft an email (emails in Mailing List) with this file attached and the location path below.
Reach out to Will McIntyre (WMcIntyre@metalumen.com) for any concerns.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</si>
</sst>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h:mm:ss.00"/>
  </numFmts>
  <fonts count="11"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
      <b/>
      <sz val="12"/>
      <color theme="1"/>
      <name val="Calibri"/>
      <family val="2"/>
      <scheme val="minor"/>
    </font>
    <font>
      <u/>
      <sz val="11"/>
      <color theme="10"/>
      <name val="Calibri"/>
      <family val="2"/>
      <scheme val="minor"/>
    </font>
    <font>
      <sz val="8"/>
      <name val="Calibri"/>
      <family val="2"/>
      <scheme val="minor"/>
    </font>
    <font>
      <sz val="10.5"/>
      <color theme="1"/>
      <name val="Calibri"/>
      <family val="2"/>
      <scheme val="minor"/>
    </font>
    <font>
      <b/>
      <i/>
      <sz val="10.5"/>
      <color theme="1"/>
      <name val="Calibri"/>
      <family val="2"/>
      <scheme val="minor"/>
    </font>
    <font>
      <b/>
      <sz val="10.5"/>
      <color theme="1"/>
      <name val="Calibri"/>
      <family val="2"/>
      <scheme val="minor"/>
    </font>
    <font>
      <sz val="10.1"/>
      <color theme="1"/>
      <name val="Calibri"/>
      <family val="2"/>
      <scheme val="minor"/>
    </font>
  </fonts>
  <fills count="3">
    <fill>
      <patternFill patternType="none"/>
    </fill>
    <fill>
      <patternFill patternType="gray125"/>
    </fill>
    <fill>
      <patternFill patternType="solid">
        <fgColor rgb="FFFFFF00"/>
        <bgColor indexed="64"/>
      </patternFill>
    </fill>
  </fills>
  <borders count="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right style="medium">
        <color indexed="64"/>
      </right>
      <top style="medium">
        <color indexed="64"/>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5" fillId="0" borderId="0" applyNumberFormat="0" applyFill="0" applyBorder="0" applyAlignment="0" applyProtection="0"/>
  </cellStyleXfs>
  <cellXfs count="60">
    <xf numFmtId="0" fontId="0" fillId="0" borderId="0" xfId="0"/>
    <xf numFmtId="0" fontId="2" fillId="0" borderId="0" xfId="0" applyFont="1" applyAlignment="1">
      <alignment horizontal="center"/>
    </xf>
    <xf numFmtId="0" fontId="0" fillId="0" borderId="0" xfId="0" applyAlignment="1">
      <alignment wrapText="1"/>
    </xf>
    <xf numFmtId="20" fontId="0" fillId="0" borderId="0" xfId="1" applyNumberFormat="1" applyFont="1"/>
    <xf numFmtId="20" fontId="0" fillId="0" borderId="0" xfId="0" applyNumberFormat="1"/>
    <xf numFmtId="164" fontId="0" fillId="0" borderId="0" xfId="0" applyNumberFormat="1" applyAlignment="1">
      <alignment wrapText="1"/>
    </xf>
    <xf numFmtId="164" fontId="0" fillId="0" borderId="0" xfId="0" applyNumberFormat="1"/>
    <xf numFmtId="0" fontId="2" fillId="0" borderId="0" xfId="0" applyFont="1"/>
    <xf numFmtId="47" fontId="0" fillId="0" borderId="0" xfId="0" applyNumberFormat="1"/>
    <xf numFmtId="0" fontId="0" fillId="0" borderId="0" xfId="0" applyAlignment="1">
      <alignment vertical="center"/>
    </xf>
    <xf numFmtId="0" fontId="4" fillId="0" borderId="0" xfId="0" applyFont="1" applyAlignment="1">
      <alignment vertical="center"/>
    </xf>
    <xf numFmtId="0" fontId="2" fillId="0" borderId="0" xfId="0" applyFont="1" applyAlignment="1">
      <alignment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47" fontId="0" fillId="0" borderId="0" xfId="0" applyNumberFormat="1" applyAlignment="1">
      <alignment horizontal="center" wrapText="1"/>
    </xf>
    <xf numFmtId="0" fontId="0" fillId="0" borderId="0" xfId="0" applyAlignment="1">
      <alignment vertical="center" wrapText="1"/>
    </xf>
    <xf numFmtId="0" fontId="0" fillId="0" borderId="0" xfId="0" applyAlignment="1">
      <alignment horizontal="center" vertical="center" wrapText="1"/>
    </xf>
    <xf numFmtId="164" fontId="2" fillId="0" borderId="1" xfId="0" applyNumberFormat="1" applyFont="1" applyBorder="1" applyAlignment="1">
      <alignment horizontal="center" vertical="center"/>
    </xf>
    <xf numFmtId="164" fontId="0" fillId="0" borderId="11" xfId="0" applyNumberFormat="1" applyBorder="1" applyAlignment="1">
      <alignment horizontal="center" vertical="center"/>
    </xf>
    <xf numFmtId="164" fontId="2" fillId="0" borderId="7" xfId="0" applyNumberFormat="1" applyFont="1" applyBorder="1" applyAlignment="1">
      <alignment horizontal="center" vertical="center"/>
    </xf>
    <xf numFmtId="164" fontId="0" fillId="0" borderId="13" xfId="0" applyNumberFormat="1" applyBorder="1" applyAlignment="1">
      <alignment horizontal="center" vertical="center"/>
    </xf>
    <xf numFmtId="164" fontId="2" fillId="0" borderId="4" xfId="0" applyNumberFormat="1" applyFont="1" applyBorder="1" applyAlignment="1">
      <alignment horizontal="center" vertical="center"/>
    </xf>
    <xf numFmtId="164" fontId="0" fillId="0" borderId="12" xfId="0" applyNumberFormat="1" applyBorder="1" applyAlignment="1">
      <alignment horizontal="center" vertical="center"/>
    </xf>
    <xf numFmtId="0" fontId="2" fillId="0" borderId="0" xfId="0" applyFont="1" applyAlignment="1">
      <alignment horizontal="right" vertical="center"/>
    </xf>
    <xf numFmtId="47" fontId="0" fillId="0" borderId="0" xfId="0" applyNumberFormat="1" applyAlignment="1">
      <alignment vertical="center"/>
    </xf>
    <xf numFmtId="0" fontId="2" fillId="0" borderId="1" xfId="0" applyFont="1" applyBorder="1" applyAlignment="1">
      <alignment horizontal="center" vertical="center"/>
    </xf>
    <xf numFmtId="164" fontId="0" fillId="0" borderId="0" xfId="0" applyNumberFormat="1" applyAlignment="1">
      <alignment horizontal="right" vertical="center"/>
    </xf>
    <xf numFmtId="0" fontId="0" fillId="0" borderId="0" xfId="0" applyAlignment="1">
      <alignment horizontal="left" vertical="center"/>
    </xf>
    <xf numFmtId="0" fontId="2" fillId="0" borderId="0" xfId="0" applyFont="1" applyAlignment="1">
      <alignment horizontal="center" vertical="center"/>
    </xf>
    <xf numFmtId="47" fontId="0" fillId="0" borderId="0" xfId="0" applyNumberFormat="1" applyAlignment="1">
      <alignment horizontal="center" vertical="center"/>
    </xf>
    <xf numFmtId="2" fontId="0" fillId="0" borderId="0" xfId="0" applyNumberFormat="1" applyAlignment="1">
      <alignment wrapText="1"/>
    </xf>
    <xf numFmtId="164" fontId="2" fillId="0" borderId="0" xfId="0" applyNumberFormat="1" applyFont="1" applyAlignment="1">
      <alignment vertical="top"/>
    </xf>
    <xf numFmtId="164" fontId="2" fillId="0" borderId="0" xfId="0" applyNumberFormat="1" applyFont="1" applyAlignment="1">
      <alignment vertical="center"/>
    </xf>
    <xf numFmtId="47" fontId="0" fillId="0" borderId="0" xfId="0" applyNumberFormat="1" applyAlignment="1">
      <alignment wrapText="1"/>
    </xf>
    <xf numFmtId="0" fontId="0" fillId="0" borderId="0" xfId="0" pivotButton="1"/>
    <xf numFmtId="0" fontId="0" fillId="0" borderId="0" xfId="0" applyAlignment="1">
      <alignment horizontal="left"/>
    </xf>
    <xf numFmtId="2" fontId="0" fillId="2" borderId="8" xfId="0" applyNumberFormat="1" applyFill="1" applyBorder="1" applyAlignment="1">
      <alignment horizontal="center" vertical="center"/>
    </xf>
    <xf numFmtId="2" fontId="0" fillId="2" borderId="3" xfId="0" applyNumberFormat="1" applyFill="1" applyBorder="1" applyAlignment="1">
      <alignment horizontal="center" vertical="center"/>
    </xf>
    <xf numFmtId="9" fontId="0" fillId="2" borderId="6" xfId="2" applyFont="1" applyFill="1" applyBorder="1" applyAlignment="1">
      <alignment horizontal="center" vertical="center"/>
    </xf>
    <xf numFmtId="164" fontId="5" fillId="0" borderId="0" xfId="3" applyNumberFormat="1" applyAlignment="1">
      <alignment vertical="top"/>
    </xf>
    <xf numFmtId="0" fontId="2" fillId="0" borderId="9" xfId="0" applyFont="1"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left" vertical="top"/>
    </xf>
    <xf numFmtId="0" fontId="0" fillId="0" borderId="3"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4" xfId="0" applyBorder="1" applyAlignment="1">
      <alignment horizontal="left" vertical="top"/>
    </xf>
    <xf numFmtId="0" fontId="0" fillId="0" borderId="6" xfId="0" applyBorder="1" applyAlignment="1">
      <alignment horizontal="left" vertical="top"/>
    </xf>
    <xf numFmtId="164" fontId="3" fillId="0" borderId="0" xfId="0" applyNumberFormat="1" applyFont="1" applyAlignment="1">
      <alignment horizontal="center" wrapText="1"/>
    </xf>
    <xf numFmtId="0" fontId="0" fillId="0" borderId="0" xfId="0" applyNumberFormat="1"/>
    <xf numFmtId="0" fontId="5" fillId="0" borderId="0" xfId="3"/>
    <xf numFmtId="0" fontId="7" fillId="0" borderId="1"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0" xfId="0" applyFont="1" applyAlignment="1">
      <alignment horizontal="center" vertical="center" wrapText="1"/>
    </xf>
    <xf numFmtId="0" fontId="10" fillId="0" borderId="8"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6" xfId="0" applyFont="1" applyBorder="1" applyAlignment="1">
      <alignment horizontal="center" vertical="center" wrapText="1"/>
    </xf>
  </cellXfs>
  <cellStyles count="4">
    <cellStyle name="Currency" xfId="1" builtinId="4"/>
    <cellStyle name="Hyperlink" xfId="3" builtinId="8"/>
    <cellStyle name="Normal" xfId="0" builtinId="0"/>
    <cellStyle name="Percent" xfId="2" builtinId="5"/>
  </cellStyles>
  <dxfs count="14">
    <dxf>
      <fill>
        <patternFill>
          <bgColor theme="9" tint="0.59996337778862885"/>
        </patternFill>
      </fill>
    </dxf>
    <dxf>
      <fill>
        <patternFill>
          <bgColor rgb="FFFE7676"/>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bottom" textRotation="0" wrapText="1" indent="0" justifyLastLine="0" shrinkToFit="0" readingOrder="0"/>
    </dxf>
    <dxf>
      <numFmt numFmtId="29" formatCode="mm:ss.0"/>
      <alignment horizontal="center" vertical="bottom" textRotation="0" wrapText="1" indent="0" justifyLastLine="0" shrinkToFit="0" readingOrder="0"/>
    </dxf>
    <dxf>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h:mm:ss.00"/>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FE7676"/>
      <color rgb="FFFE5454"/>
      <color rgb="FFFF8585"/>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hyperlink" Target="../Code%20Tools/Time%20Study%20Folder%20and%20Spreadsheet%20Creator/Time%20Study%20Folder%20and%20Spreadsheet%20Creator%20Documentation.docx" TargetMode="External"/></Relationships>
</file>

<file path=xl/drawings/drawing1.xml><?xml version="1.0" encoding="utf-8"?>
<xdr:wsDr xmlns:xdr="http://schemas.openxmlformats.org/drawingml/2006/spreadsheetDrawing" xmlns:a="http://schemas.openxmlformats.org/drawingml/2006/main">
  <xdr:twoCellAnchor>
    <xdr:from>
      <xdr:col>17</xdr:col>
      <xdr:colOff>168089</xdr:colOff>
      <xdr:row>7</xdr:row>
      <xdr:rowOff>78441</xdr:rowOff>
    </xdr:from>
    <xdr:to>
      <xdr:col>17</xdr:col>
      <xdr:colOff>616325</xdr:colOff>
      <xdr:row>7</xdr:row>
      <xdr:rowOff>358589</xdr:rowOff>
    </xdr:to>
    <xdr:sp macro="[0]!DeleteSelectedRow" textlink="">
      <xdr:nvSpPr>
        <xdr:cNvPr id="4" name="Rectangle: Rounded Corners 3">
          <a:extLst>
            <a:ext uri="{FF2B5EF4-FFF2-40B4-BE49-F238E27FC236}">
              <a16:creationId xmlns:a16="http://schemas.microsoft.com/office/drawing/2014/main" id="{E846312A-3D35-4707-B434-813E11CB31E5}"/>
            </a:ext>
          </a:extLst>
        </xdr:cNvPr>
        <xdr:cNvSpPr/>
      </xdr:nvSpPr>
      <xdr:spPr>
        <a:xfrm>
          <a:off x="16539883" y="2173941"/>
          <a:ext cx="448236" cy="280148"/>
        </a:xfrm>
        <a:prstGeom prst="roundRect">
          <a:avLst/>
        </a:prstGeom>
        <a:solidFill>
          <a:srgbClr val="FF858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900">
              <a:solidFill>
                <a:sysClr val="windowText" lastClr="000000"/>
              </a:solidFill>
            </a:rPr>
            <a:t>Del</a:t>
          </a:r>
        </a:p>
      </xdr:txBody>
    </xdr:sp>
    <xdr:clientData/>
  </xdr:twoCellAnchor>
  <xdr:twoCellAnchor>
    <xdr:from>
      <xdr:col>7</xdr:col>
      <xdr:colOff>0</xdr:colOff>
      <xdr:row>4</xdr:row>
      <xdr:rowOff>0</xdr:rowOff>
    </xdr:from>
    <xdr:to>
      <xdr:col>7</xdr:col>
      <xdr:colOff>459442</xdr:colOff>
      <xdr:row>4</xdr:row>
      <xdr:rowOff>257736</xdr:rowOff>
    </xdr:to>
    <xdr:sp macro="[0]!TimeStamp" textlink="">
      <xdr:nvSpPr>
        <xdr:cNvPr id="7" name="Rectangle: Rounded Corners 6">
          <a:extLst>
            <a:ext uri="{FF2B5EF4-FFF2-40B4-BE49-F238E27FC236}">
              <a16:creationId xmlns:a16="http://schemas.microsoft.com/office/drawing/2014/main" id="{DF5099DA-6507-4A59-B83D-8B2EB23D72E1}"/>
            </a:ext>
          </a:extLst>
        </xdr:cNvPr>
        <xdr:cNvSpPr/>
      </xdr:nvSpPr>
      <xdr:spPr>
        <a:xfrm>
          <a:off x="9536206" y="952500"/>
          <a:ext cx="459442" cy="25773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900"/>
            <a:t>Time</a:t>
          </a:r>
        </a:p>
      </xdr:txBody>
    </xdr:sp>
    <xdr:clientData/>
  </xdr:twoCellAnchor>
  <xdr:twoCellAnchor>
    <xdr:from>
      <xdr:col>7</xdr:col>
      <xdr:colOff>0</xdr:colOff>
      <xdr:row>5</xdr:row>
      <xdr:rowOff>0</xdr:rowOff>
    </xdr:from>
    <xdr:to>
      <xdr:col>7</xdr:col>
      <xdr:colOff>461683</xdr:colOff>
      <xdr:row>5</xdr:row>
      <xdr:rowOff>259977</xdr:rowOff>
    </xdr:to>
    <xdr:sp macro="[0]!newRow" textlink="">
      <xdr:nvSpPr>
        <xdr:cNvPr id="8" name="Rectangle: Rounded Corners 7">
          <a:extLst>
            <a:ext uri="{FF2B5EF4-FFF2-40B4-BE49-F238E27FC236}">
              <a16:creationId xmlns:a16="http://schemas.microsoft.com/office/drawing/2014/main" id="{ADD14D18-097E-4230-A662-830C0DA1155C}"/>
            </a:ext>
          </a:extLst>
        </xdr:cNvPr>
        <xdr:cNvSpPr/>
      </xdr:nvSpPr>
      <xdr:spPr>
        <a:xfrm>
          <a:off x="9536206" y="1333500"/>
          <a:ext cx="461683" cy="259977"/>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900">
              <a:solidFill>
                <a:sysClr val="windowText" lastClr="000000"/>
              </a:solidFill>
            </a:rPr>
            <a:t>New</a:t>
          </a:r>
        </a:p>
      </xdr:txBody>
    </xdr:sp>
    <xdr:clientData/>
  </xdr:twoCellAnchor>
  <xdr:twoCellAnchor>
    <xdr:from>
      <xdr:col>7</xdr:col>
      <xdr:colOff>0</xdr:colOff>
      <xdr:row>6</xdr:row>
      <xdr:rowOff>0</xdr:rowOff>
    </xdr:from>
    <xdr:to>
      <xdr:col>7</xdr:col>
      <xdr:colOff>443753</xdr:colOff>
      <xdr:row>6</xdr:row>
      <xdr:rowOff>275666</xdr:rowOff>
    </xdr:to>
    <xdr:sp macro="[0]!AutofillRow" textlink="">
      <xdr:nvSpPr>
        <xdr:cNvPr id="9" name="Rectangle: Rounded Corners 8">
          <a:extLst>
            <a:ext uri="{FF2B5EF4-FFF2-40B4-BE49-F238E27FC236}">
              <a16:creationId xmlns:a16="http://schemas.microsoft.com/office/drawing/2014/main" id="{02D004A6-9130-4337-A0A8-1EDCDD3CF588}"/>
            </a:ext>
          </a:extLst>
        </xdr:cNvPr>
        <xdr:cNvSpPr/>
      </xdr:nvSpPr>
      <xdr:spPr>
        <a:xfrm>
          <a:off x="9536206" y="1714500"/>
          <a:ext cx="443753" cy="275666"/>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900">
              <a:solidFill>
                <a:sysClr val="windowText" lastClr="000000"/>
              </a:solidFill>
            </a:rPr>
            <a:t>Ref</a:t>
          </a:r>
        </a:p>
      </xdr:txBody>
    </xdr:sp>
    <xdr:clientData/>
  </xdr:twoCellAnchor>
  <xdr:twoCellAnchor>
    <xdr:from>
      <xdr:col>7</xdr:col>
      <xdr:colOff>0</xdr:colOff>
      <xdr:row>7</xdr:row>
      <xdr:rowOff>0</xdr:rowOff>
    </xdr:from>
    <xdr:to>
      <xdr:col>7</xdr:col>
      <xdr:colOff>448236</xdr:colOff>
      <xdr:row>7</xdr:row>
      <xdr:rowOff>280148</xdr:rowOff>
    </xdr:to>
    <xdr:sp macro="[0]!DeleteSelectedRow" textlink="">
      <xdr:nvSpPr>
        <xdr:cNvPr id="10" name="Rectangle: Rounded Corners 9">
          <a:extLst>
            <a:ext uri="{FF2B5EF4-FFF2-40B4-BE49-F238E27FC236}">
              <a16:creationId xmlns:a16="http://schemas.microsoft.com/office/drawing/2014/main" id="{5FC0E78A-36B4-41B3-BF00-5E24A89A0D77}"/>
            </a:ext>
          </a:extLst>
        </xdr:cNvPr>
        <xdr:cNvSpPr/>
      </xdr:nvSpPr>
      <xdr:spPr>
        <a:xfrm>
          <a:off x="9536206" y="2095500"/>
          <a:ext cx="448236" cy="280148"/>
        </a:xfrm>
        <a:prstGeom prst="roundRect">
          <a:avLst/>
        </a:prstGeom>
        <a:solidFill>
          <a:srgbClr val="FF858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900">
              <a:solidFill>
                <a:sysClr val="windowText" lastClr="000000"/>
              </a:solidFill>
            </a:rPr>
            <a:t>Del</a:t>
          </a:r>
        </a:p>
      </xdr:txBody>
    </xdr:sp>
    <xdr:clientData/>
  </xdr:twoCellAnchor>
  <xdr:twoCellAnchor>
    <xdr:from>
      <xdr:col>17</xdr:col>
      <xdr:colOff>168088</xdr:colOff>
      <xdr:row>4</xdr:row>
      <xdr:rowOff>56030</xdr:rowOff>
    </xdr:from>
    <xdr:to>
      <xdr:col>17</xdr:col>
      <xdr:colOff>627530</xdr:colOff>
      <xdr:row>4</xdr:row>
      <xdr:rowOff>313766</xdr:rowOff>
    </xdr:to>
    <xdr:sp macro="[0]!TimeStamp" textlink="">
      <xdr:nvSpPr>
        <xdr:cNvPr id="12" name="Rectangle: Rounded Corners 11">
          <a:extLst>
            <a:ext uri="{FF2B5EF4-FFF2-40B4-BE49-F238E27FC236}">
              <a16:creationId xmlns:a16="http://schemas.microsoft.com/office/drawing/2014/main" id="{855182C5-3BA1-4B1A-9240-F20D50897AC0}"/>
            </a:ext>
          </a:extLst>
        </xdr:cNvPr>
        <xdr:cNvSpPr/>
      </xdr:nvSpPr>
      <xdr:spPr>
        <a:xfrm>
          <a:off x="16539882" y="1008530"/>
          <a:ext cx="459442" cy="25773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900"/>
            <a:t>Time</a:t>
          </a:r>
        </a:p>
      </xdr:txBody>
    </xdr:sp>
    <xdr:clientData/>
  </xdr:twoCellAnchor>
  <xdr:twoCellAnchor>
    <xdr:from>
      <xdr:col>17</xdr:col>
      <xdr:colOff>168089</xdr:colOff>
      <xdr:row>5</xdr:row>
      <xdr:rowOff>44823</xdr:rowOff>
    </xdr:from>
    <xdr:to>
      <xdr:col>17</xdr:col>
      <xdr:colOff>629772</xdr:colOff>
      <xdr:row>5</xdr:row>
      <xdr:rowOff>304800</xdr:rowOff>
    </xdr:to>
    <xdr:sp macro="[0]!newRow" textlink="">
      <xdr:nvSpPr>
        <xdr:cNvPr id="13" name="Rectangle: Rounded Corners 12">
          <a:extLst>
            <a:ext uri="{FF2B5EF4-FFF2-40B4-BE49-F238E27FC236}">
              <a16:creationId xmlns:a16="http://schemas.microsoft.com/office/drawing/2014/main" id="{39CFE93B-51E8-467E-94A2-41ED5F327C7B}"/>
            </a:ext>
          </a:extLst>
        </xdr:cNvPr>
        <xdr:cNvSpPr/>
      </xdr:nvSpPr>
      <xdr:spPr>
        <a:xfrm>
          <a:off x="16539883" y="1378323"/>
          <a:ext cx="461683" cy="259977"/>
        </a:xfrm>
        <a:prstGeom prst="roundRect">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900">
              <a:solidFill>
                <a:sysClr val="windowText" lastClr="000000"/>
              </a:solidFill>
            </a:rPr>
            <a:t>New</a:t>
          </a:r>
        </a:p>
      </xdr:txBody>
    </xdr:sp>
    <xdr:clientData/>
  </xdr:twoCellAnchor>
  <xdr:twoCellAnchor>
    <xdr:from>
      <xdr:col>17</xdr:col>
      <xdr:colOff>168090</xdr:colOff>
      <xdr:row>6</xdr:row>
      <xdr:rowOff>67236</xdr:rowOff>
    </xdr:from>
    <xdr:to>
      <xdr:col>17</xdr:col>
      <xdr:colOff>611843</xdr:colOff>
      <xdr:row>6</xdr:row>
      <xdr:rowOff>342902</xdr:rowOff>
    </xdr:to>
    <xdr:sp macro="[0]!AutofillRow" textlink="">
      <xdr:nvSpPr>
        <xdr:cNvPr id="14" name="Rectangle: Rounded Corners 13">
          <a:extLst>
            <a:ext uri="{FF2B5EF4-FFF2-40B4-BE49-F238E27FC236}">
              <a16:creationId xmlns:a16="http://schemas.microsoft.com/office/drawing/2014/main" id="{86D5C07F-5F49-486F-BCE2-43EB3D304268}"/>
            </a:ext>
          </a:extLst>
        </xdr:cNvPr>
        <xdr:cNvSpPr/>
      </xdr:nvSpPr>
      <xdr:spPr>
        <a:xfrm>
          <a:off x="16539884" y="1781736"/>
          <a:ext cx="443753" cy="275666"/>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900">
              <a:solidFill>
                <a:sysClr val="windowText" lastClr="000000"/>
              </a:solidFill>
            </a:rPr>
            <a:t>Ref</a:t>
          </a:r>
        </a:p>
      </xdr:txBody>
    </xdr:sp>
    <xdr:clientData/>
  </xdr:twoCellAnchor>
  <xdr:twoCellAnchor>
    <xdr:from>
      <xdr:col>11</xdr:col>
      <xdr:colOff>448236</xdr:colOff>
      <xdr:row>13</xdr:row>
      <xdr:rowOff>246530</xdr:rowOff>
    </xdr:from>
    <xdr:to>
      <xdr:col>16</xdr:col>
      <xdr:colOff>122648</xdr:colOff>
      <xdr:row>14</xdr:row>
      <xdr:rowOff>225530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DA0C3F65-E785-4AB7-9048-46E080A11CEA}"/>
            </a:ext>
          </a:extLst>
        </xdr:cNvPr>
        <xdr:cNvSpPr/>
      </xdr:nvSpPr>
      <xdr:spPr>
        <a:xfrm>
          <a:off x="14332324" y="4628030"/>
          <a:ext cx="2700000" cy="360000"/>
        </a:xfrm>
        <a:prstGeom prst="round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a:t>Automation Documentation</a:t>
          </a:r>
        </a:p>
      </xdr:txBody>
    </xdr:sp>
    <xdr:clientData/>
  </xdr:twoCellAnchor>
  <xdr:twoCellAnchor>
    <xdr:from>
      <xdr:col>11</xdr:col>
      <xdr:colOff>448237</xdr:colOff>
      <xdr:row>12</xdr:row>
      <xdr:rowOff>67235</xdr:rowOff>
    </xdr:from>
    <xdr:to>
      <xdr:col>16</xdr:col>
      <xdr:colOff>122649</xdr:colOff>
      <xdr:row>13</xdr:row>
      <xdr:rowOff>46235</xdr:rowOff>
    </xdr:to>
    <xdr:sp macro="[0]!SendEmail" textlink="">
      <xdr:nvSpPr>
        <xdr:cNvPr id="3" name="Rectangle: Rounded Corners 2">
          <a:extLst>
            <a:ext uri="{FF2B5EF4-FFF2-40B4-BE49-F238E27FC236}">
              <a16:creationId xmlns:a16="http://schemas.microsoft.com/office/drawing/2014/main" id="{7A89BAF4-9C10-D1B4-F75D-0256BCB3B50A}"/>
            </a:ext>
          </a:extLst>
        </xdr:cNvPr>
        <xdr:cNvSpPr/>
      </xdr:nvSpPr>
      <xdr:spPr>
        <a:xfrm>
          <a:off x="14332325" y="4067735"/>
          <a:ext cx="2700000" cy="36000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a:t>Draft Email</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Will McIntyre" refreshedDate="45106.335907175926" createdVersion="8" refreshedVersion="8" minRefreshableVersion="3" recordCount="4" xr:uid="{97FA4FCB-E614-49AC-9556-8D73FF878A13}">
  <cacheSource type="worksheet">
    <worksheetSource name="Table7"/>
  </cacheSource>
  <cacheFields count="5">
    <cacheField name="Action" numFmtId="0">
      <sharedItems containsNonDate="0" containsString="0" containsBlank="1"/>
    </cacheField>
    <cacheField name="Start Time" numFmtId="164">
      <sharedItems containsNonDate="0" containsString="0" containsBlank="1"/>
    </cacheField>
    <cacheField name="Seconds" numFmtId="2">
      <sharedItems containsSemiMixedTypes="0" containsString="0" containsNumber="1" containsInteger="1" minValue="0" maxValue="0"/>
    </cacheField>
    <cacheField name="Value" numFmtId="47">
      <sharedItems containsNonDate="0" containsString="0" containsBlank="1"/>
    </cacheField>
    <cacheField name="Category" numFmtId="47">
      <sharedItems containsNonDate="0" containsBlank="1" count="5">
        <m/>
        <s v="BCD" u="1"/>
        <s v="ABC" u="1"/>
        <s v="HIJ" u="1"/>
        <s v="EFG"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m/>
    <m/>
    <n v="0"/>
    <m/>
    <x v="0"/>
  </r>
  <r>
    <m/>
    <m/>
    <n v="0"/>
    <m/>
    <x v="0"/>
  </r>
  <r>
    <m/>
    <m/>
    <n v="0"/>
    <m/>
    <x v="0"/>
  </r>
  <r>
    <m/>
    <m/>
    <n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116E64-EB65-4CAE-9AFA-AB8A0603552C}" name="PivotTable5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5" firstHeaderRow="1" firstDataRow="1" firstDataCol="1"/>
  <pivotFields count="5">
    <pivotField showAll="0"/>
    <pivotField showAll="0"/>
    <pivotField dataField="1" numFmtId="2" showAll="0"/>
    <pivotField showAll="0"/>
    <pivotField axis="axisRow" showAll="0">
      <items count="6">
        <item m="1" x="2"/>
        <item m="1" x="1"/>
        <item m="1" x="4"/>
        <item m="1" x="3"/>
        <item x="0"/>
        <item t="default"/>
      </items>
    </pivotField>
  </pivotFields>
  <rowFields count="1">
    <field x="4"/>
  </rowFields>
  <rowItems count="2">
    <i>
      <x v="4"/>
    </i>
    <i t="grand">
      <x/>
    </i>
  </rowItems>
  <colItems count="1">
    <i/>
  </colItems>
  <dataFields count="1">
    <dataField name="Sum of Seconds"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CB7DE40-39C9-4D1B-8D4F-7AC7755A0BD1}" name="Table7" displayName="Table7" ref="B3:F7" headerRowDxfId="13" dataDxfId="12">
  <autoFilter ref="B3:F7" xr:uid="{ECB7DE40-39C9-4D1B-8D4F-7AC7755A0BD1}"/>
  <tableColumns count="5">
    <tableColumn id="1" xr3:uid="{B38E1ABE-2E89-4602-B0AA-B9CDD845AE8F}" name="Action" totalsRowLabel="Total" dataDxfId="11" totalsRowDxfId="10"/>
    <tableColumn id="2" xr3:uid="{174728A4-8351-476B-A32F-2BB4DE342859}" name="Start Time" dataDxfId="9" totalsRowDxfId="8"/>
    <tableColumn id="3" xr3:uid="{1B3EDD27-32AA-4CD6-A4A4-C3199DB47393}" name="Seconds" dataDxfId="7" totalsRowDxfId="6">
      <calculatedColumnFormula>(C5-Table7[[#This Row],[Start Time]])*86400</calculatedColumnFormula>
    </tableColumn>
    <tableColumn id="4" xr3:uid="{AD92525C-C85A-41E0-A453-39BD774D1D6D}" name="Value" dataDxfId="5" totalsRowDxfId="4"/>
    <tableColumn id="5" xr3:uid="{C47BF89F-7D79-4B6C-B389-0DECC6A767A0}" name="Category" totalsRowFunction="count" dataDxfId="3" totalsRowDxfId="2"/>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mailto:WMcIntyre@metalumen.com"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W93"/>
  <sheetViews>
    <sheetView showGridLines="0" tabSelected="1" zoomScale="85" zoomScaleNormal="85" workbookViewId="0">
      <selection activeCell="R17" sqref="R17"/>
    </sheetView>
  </sheetViews>
  <sheetFormatPr defaultRowHeight="15" x14ac:dyDescent="0.25"/>
  <cols>
    <col min="2" max="2" width="73.5703125" customWidth="1"/>
    <col min="3" max="3" width="18.5703125" customWidth="1"/>
    <col min="4" max="4" width="18.42578125" customWidth="1"/>
    <col min="5" max="5" width="14.140625" customWidth="1"/>
    <col min="6" max="6" width="17.140625" customWidth="1"/>
    <col min="9" max="9" width="14" customWidth="1"/>
    <col min="10" max="10" width="16" customWidth="1"/>
    <col min="18" max="18" width="11.28515625" customWidth="1"/>
    <col min="19" max="19" width="17.5703125" customWidth="1"/>
    <col min="20" max="20" width="34.7109375" customWidth="1"/>
  </cols>
  <sheetData>
    <row r="1" spans="2:23" ht="15" customHeight="1" x14ac:dyDescent="0.25">
      <c r="B1" s="48" t="s">
        <v>4</v>
      </c>
      <c r="C1" s="48"/>
      <c r="D1" s="48"/>
      <c r="E1" s="48"/>
      <c r="F1" s="48"/>
    </row>
    <row r="2" spans="2:23" ht="15" customHeight="1" x14ac:dyDescent="0.25">
      <c r="B2" s="48"/>
      <c r="C2" s="48"/>
      <c r="D2" s="48"/>
      <c r="E2" s="48"/>
      <c r="F2" s="48"/>
      <c r="H2" s="5"/>
      <c r="I2" s="15"/>
      <c r="J2" s="15"/>
      <c r="K2" s="15"/>
      <c r="L2" s="15"/>
      <c r="M2" s="15"/>
      <c r="N2" s="15"/>
      <c r="O2" s="15"/>
      <c r="P2" s="15"/>
      <c r="R2" s="10"/>
      <c r="S2" s="10"/>
      <c r="T2" s="10"/>
      <c r="U2" s="10"/>
      <c r="V2" s="10"/>
    </row>
    <row r="3" spans="2:23" ht="15" customHeight="1" thickBot="1" x14ac:dyDescent="0.3">
      <c r="B3" s="1" t="s">
        <v>0</v>
      </c>
      <c r="C3" s="1" t="s">
        <v>11</v>
      </c>
      <c r="D3" s="1" t="s">
        <v>17</v>
      </c>
      <c r="E3" s="1" t="s">
        <v>6</v>
      </c>
      <c r="F3" s="1" t="s">
        <v>19</v>
      </c>
      <c r="H3" s="5"/>
      <c r="I3" s="15"/>
      <c r="J3" s="15"/>
      <c r="K3" s="15"/>
      <c r="L3" s="15"/>
      <c r="M3" s="15"/>
      <c r="N3" s="15"/>
      <c r="O3" s="15"/>
      <c r="P3" s="15"/>
      <c r="R3" s="10"/>
      <c r="S3" s="10"/>
      <c r="T3" s="10"/>
      <c r="U3" s="10"/>
      <c r="V3" s="10"/>
    </row>
    <row r="4" spans="2:23" ht="30" customHeight="1" thickBot="1" x14ac:dyDescent="0.3">
      <c r="B4" s="5"/>
      <c r="C4" s="5"/>
      <c r="D4" s="30">
        <f>(C5-Table7[[#This Row],[Start Time]])*86400</f>
        <v>0</v>
      </c>
      <c r="E4" s="14"/>
      <c r="F4" s="33"/>
      <c r="H4" s="5"/>
      <c r="I4" s="51" t="s">
        <v>29</v>
      </c>
      <c r="J4" s="52"/>
      <c r="K4" s="52"/>
      <c r="L4" s="52"/>
      <c r="M4" s="52"/>
      <c r="N4" s="52"/>
      <c r="O4" s="52"/>
      <c r="P4" s="52"/>
      <c r="Q4" s="53"/>
      <c r="R4" s="23"/>
      <c r="S4" s="12" t="s">
        <v>2</v>
      </c>
      <c r="T4" s="13" t="s">
        <v>3</v>
      </c>
      <c r="U4" s="9"/>
      <c r="V4" s="9"/>
    </row>
    <row r="5" spans="2:23" ht="30" customHeight="1" x14ac:dyDescent="0.25">
      <c r="B5" s="2"/>
      <c r="C5" s="5"/>
      <c r="D5" s="30">
        <f>(C6-Table7[[#This Row],[Start Time]])*86400</f>
        <v>0</v>
      </c>
      <c r="E5" s="14"/>
      <c r="F5" s="33"/>
      <c r="H5" s="5"/>
      <c r="I5" s="54"/>
      <c r="J5" s="55"/>
      <c r="K5" s="55"/>
      <c r="L5" s="55"/>
      <c r="M5" s="55"/>
      <c r="N5" s="55"/>
      <c r="O5" s="55"/>
      <c r="P5" s="55"/>
      <c r="Q5" s="56"/>
      <c r="R5" s="11"/>
      <c r="S5" s="17" t="s">
        <v>13</v>
      </c>
      <c r="T5" s="18" t="s">
        <v>5</v>
      </c>
      <c r="U5" s="9"/>
      <c r="V5" s="9"/>
    </row>
    <row r="6" spans="2:23" ht="30" customHeight="1" x14ac:dyDescent="0.25">
      <c r="B6" s="2"/>
      <c r="C6" s="5"/>
      <c r="D6" s="30">
        <f>(C7-Table7[[#This Row],[Start Time]])*86400</f>
        <v>0</v>
      </c>
      <c r="E6" s="14"/>
      <c r="F6" s="33"/>
      <c r="H6" s="2"/>
      <c r="I6" s="54"/>
      <c r="J6" s="55"/>
      <c r="K6" s="55"/>
      <c r="L6" s="55"/>
      <c r="M6" s="55"/>
      <c r="N6" s="55"/>
      <c r="O6" s="55"/>
      <c r="P6" s="55"/>
      <c r="Q6" s="56"/>
      <c r="R6" s="9"/>
      <c r="S6" s="19" t="s">
        <v>14</v>
      </c>
      <c r="T6" s="20" t="s">
        <v>9</v>
      </c>
      <c r="U6" s="9"/>
      <c r="V6" s="9"/>
    </row>
    <row r="7" spans="2:23" ht="30" customHeight="1" x14ac:dyDescent="0.25">
      <c r="B7" s="2"/>
      <c r="C7" s="5"/>
      <c r="D7" s="30">
        <f>(C8-Table7[[#This Row],[Start Time]])*86400</f>
        <v>0</v>
      </c>
      <c r="E7" s="14"/>
      <c r="F7" s="33"/>
      <c r="H7" s="2"/>
      <c r="I7" s="54"/>
      <c r="J7" s="55"/>
      <c r="K7" s="55"/>
      <c r="L7" s="55"/>
      <c r="M7" s="55"/>
      <c r="N7" s="55"/>
      <c r="O7" s="55"/>
      <c r="P7" s="55"/>
      <c r="Q7" s="56"/>
      <c r="R7" s="9"/>
      <c r="S7" s="19" t="s">
        <v>15</v>
      </c>
      <c r="T7" s="20" t="s">
        <v>10</v>
      </c>
      <c r="U7" s="9"/>
      <c r="V7" s="9"/>
    </row>
    <row r="8" spans="2:23" ht="30" customHeight="1" thickBot="1" x14ac:dyDescent="0.3">
      <c r="B8" s="27" t="s">
        <v>12</v>
      </c>
      <c r="C8" s="26"/>
      <c r="D8" s="24"/>
      <c r="E8" s="8"/>
      <c r="F8" s="8"/>
      <c r="I8" s="54"/>
      <c r="J8" s="55"/>
      <c r="K8" s="55"/>
      <c r="L8" s="55"/>
      <c r="M8" s="55"/>
      <c r="N8" s="55"/>
      <c r="O8" s="55"/>
      <c r="P8" s="55"/>
      <c r="Q8" s="56"/>
      <c r="R8" s="2"/>
      <c r="S8" s="21" t="s">
        <v>16</v>
      </c>
      <c r="T8" s="22" t="s">
        <v>7</v>
      </c>
    </row>
    <row r="9" spans="2:23" ht="30" customHeight="1" thickBot="1" x14ac:dyDescent="0.3">
      <c r="B9" s="27"/>
      <c r="C9" s="26"/>
      <c r="D9" s="24"/>
      <c r="E9" s="8"/>
      <c r="F9" s="8"/>
      <c r="I9" s="54"/>
      <c r="J9" s="55"/>
      <c r="K9" s="55"/>
      <c r="L9" s="55"/>
      <c r="M9" s="55"/>
      <c r="N9" s="55"/>
      <c r="O9" s="55"/>
      <c r="P9" s="55"/>
      <c r="Q9" s="56"/>
      <c r="R9" s="2"/>
      <c r="S9" s="7"/>
    </row>
    <row r="10" spans="2:23" ht="30" customHeight="1" thickBot="1" x14ac:dyDescent="0.3">
      <c r="B10" s="28"/>
      <c r="C10" s="9"/>
      <c r="D10" s="29"/>
      <c r="E10" s="8"/>
      <c r="F10" s="8"/>
      <c r="I10" s="54"/>
      <c r="J10" s="55"/>
      <c r="K10" s="55"/>
      <c r="L10" s="55"/>
      <c r="M10" s="55"/>
      <c r="N10" s="55"/>
      <c r="O10" s="55"/>
      <c r="P10" s="55"/>
      <c r="Q10" s="56"/>
      <c r="S10" s="40" t="s">
        <v>18</v>
      </c>
      <c r="T10" s="41"/>
    </row>
    <row r="11" spans="2:23" ht="30" customHeight="1" thickBot="1" x14ac:dyDescent="0.3">
      <c r="B11" s="28"/>
      <c r="C11" s="9"/>
      <c r="D11" s="29"/>
      <c r="I11" s="57"/>
      <c r="J11" s="58"/>
      <c r="K11" s="58"/>
      <c r="L11" s="58"/>
      <c r="M11" s="58"/>
      <c r="N11" s="58"/>
      <c r="O11" s="58"/>
      <c r="P11" s="58"/>
      <c r="Q11" s="59"/>
      <c r="S11" s="42"/>
      <c r="T11" s="43"/>
    </row>
    <row r="12" spans="2:23" ht="30" customHeight="1" thickBot="1" x14ac:dyDescent="0.3">
      <c r="I12" s="16"/>
      <c r="J12" s="16"/>
      <c r="K12" s="16"/>
      <c r="L12" s="16"/>
      <c r="M12" s="16"/>
      <c r="N12" s="16"/>
      <c r="O12" s="16"/>
      <c r="P12" s="16"/>
      <c r="Q12" s="16"/>
      <c r="S12" s="44"/>
      <c r="T12" s="45"/>
    </row>
    <row r="13" spans="2:23" ht="30" customHeight="1" x14ac:dyDescent="0.25">
      <c r="I13" s="25" t="s">
        <v>1</v>
      </c>
      <c r="J13" s="37">
        <f>SUM(Table7[Seconds])</f>
        <v>0</v>
      </c>
      <c r="L13" s="32"/>
      <c r="M13" s="32"/>
      <c r="N13" s="32"/>
      <c r="O13" s="32"/>
      <c r="P13" s="32"/>
      <c r="Q13" s="32"/>
      <c r="R13" s="6"/>
      <c r="S13" s="44"/>
      <c r="T13" s="45"/>
      <c r="U13" s="6"/>
      <c r="V13" s="6"/>
      <c r="W13" s="6"/>
    </row>
    <row r="14" spans="2:23" ht="30" customHeight="1" thickBot="1" x14ac:dyDescent="0.3">
      <c r="I14" s="19" t="s">
        <v>8</v>
      </c>
      <c r="J14" s="36">
        <f>SUMIF(Table7[Value], "VA", Table7[Seconds])</f>
        <v>0</v>
      </c>
      <c r="L14" s="31"/>
      <c r="M14" s="31"/>
      <c r="N14" s="31"/>
      <c r="O14" s="31"/>
      <c r="P14" s="31"/>
      <c r="Q14" s="31"/>
      <c r="S14" s="46"/>
      <c r="T14" s="47"/>
    </row>
    <row r="15" spans="2:23" ht="30" customHeight="1" thickBot="1" x14ac:dyDescent="0.3">
      <c r="I15" s="21" t="s">
        <v>23</v>
      </c>
      <c r="J15" s="38" t="e">
        <f>J14/J13</f>
        <v>#DIV/0!</v>
      </c>
      <c r="K15" s="6"/>
      <c r="L15" s="31"/>
      <c r="M15" s="31"/>
      <c r="N15" s="31"/>
      <c r="O15" s="31"/>
      <c r="P15" s="31"/>
      <c r="Q15" s="31"/>
    </row>
    <row r="16" spans="2:23" ht="30" customHeight="1" x14ac:dyDescent="0.25">
      <c r="L16" s="31"/>
      <c r="M16" s="31"/>
      <c r="N16" s="39"/>
      <c r="O16" s="31"/>
      <c r="P16" s="31"/>
      <c r="Q16" s="31"/>
    </row>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ht="30" customHeight="1" x14ac:dyDescent="0.25"/>
    <row r="50" ht="30" customHeight="1" x14ac:dyDescent="0.25"/>
    <row r="51" ht="30" customHeight="1" x14ac:dyDescent="0.25"/>
    <row r="52" ht="30" customHeight="1" x14ac:dyDescent="0.25"/>
    <row r="53" ht="30" customHeight="1" x14ac:dyDescent="0.25"/>
    <row r="54" ht="30" customHeight="1" x14ac:dyDescent="0.25"/>
    <row r="55" ht="30" customHeight="1" x14ac:dyDescent="0.25"/>
    <row r="56" ht="30" customHeight="1" x14ac:dyDescent="0.25"/>
    <row r="57" ht="30" customHeight="1" x14ac:dyDescent="0.25"/>
    <row r="58" ht="30" customHeight="1" x14ac:dyDescent="0.25"/>
    <row r="59" ht="30" customHeight="1" x14ac:dyDescent="0.25"/>
    <row r="60" ht="30" customHeight="1" x14ac:dyDescent="0.25"/>
    <row r="61" ht="30" customHeight="1" x14ac:dyDescent="0.25"/>
    <row r="62" ht="30" customHeight="1" x14ac:dyDescent="0.25"/>
    <row r="63" ht="30" customHeight="1" x14ac:dyDescent="0.25"/>
    <row r="6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1" spans="7:7" ht="30" customHeight="1" x14ac:dyDescent="0.25"/>
    <row r="82" spans="7:7" ht="30" customHeight="1" x14ac:dyDescent="0.25"/>
    <row r="83" spans="7:7" ht="30" customHeight="1" x14ac:dyDescent="0.25"/>
    <row r="84" spans="7:7" ht="30" customHeight="1" x14ac:dyDescent="0.25"/>
    <row r="85" spans="7:7" ht="30" customHeight="1" x14ac:dyDescent="0.25"/>
    <row r="86" spans="7:7" ht="30" customHeight="1" x14ac:dyDescent="0.25"/>
    <row r="87" spans="7:7" ht="30" customHeight="1" x14ac:dyDescent="0.25"/>
    <row r="88" spans="7:7" ht="30" customHeight="1" x14ac:dyDescent="0.25"/>
    <row r="89" spans="7:7" ht="30" customHeight="1" x14ac:dyDescent="0.25"/>
    <row r="90" spans="7:7" ht="30" customHeight="1" x14ac:dyDescent="0.25"/>
    <row r="91" spans="7:7" ht="30" customHeight="1" x14ac:dyDescent="0.25">
      <c r="G91" s="4"/>
    </row>
    <row r="92" spans="7:7" ht="30" customHeight="1" x14ac:dyDescent="0.25">
      <c r="G92" s="3"/>
    </row>
    <row r="93" spans="7:7" ht="30" customHeight="1" x14ac:dyDescent="0.25"/>
  </sheetData>
  <mergeCells count="4">
    <mergeCell ref="S10:T10"/>
    <mergeCell ref="S11:T14"/>
    <mergeCell ref="I4:Q11"/>
    <mergeCell ref="B1:F2"/>
  </mergeCells>
  <phoneticPr fontId="6" type="noConversion"/>
  <conditionalFormatting sqref="E4:F7">
    <cfRule type="cellIs" dxfId="1" priority="1" operator="equal">
      <formula>"NVA"</formula>
    </cfRule>
    <cfRule type="cellIs" dxfId="0" priority="3" operator="equal">
      <formula>"VA"</formula>
    </cfRule>
  </conditionalFormatting>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705E1-4E3E-44C7-A721-D2B1326CC54A}">
  <sheetPr codeName="Sheet3"/>
  <dimension ref="A1:B2"/>
  <sheetViews>
    <sheetView workbookViewId="0">
      <selection activeCell="B16" sqref="B16"/>
    </sheetView>
  </sheetViews>
  <sheetFormatPr defaultRowHeight="15" x14ac:dyDescent="0.25"/>
  <cols>
    <col min="1" max="1" width="16.85546875" customWidth="1"/>
    <col min="2" max="2" width="29" customWidth="1"/>
  </cols>
  <sheetData>
    <row r="1" spans="1:2" x14ac:dyDescent="0.25">
      <c r="A1" t="s">
        <v>25</v>
      </c>
      <c r="B1" t="s">
        <v>26</v>
      </c>
    </row>
    <row r="2" spans="1:2" x14ac:dyDescent="0.25">
      <c r="A2" t="s">
        <v>27</v>
      </c>
      <c r="B2" s="50" t="s">
        <v>28</v>
      </c>
    </row>
  </sheetData>
  <hyperlinks>
    <hyperlink ref="B2" r:id="rId1" xr:uid="{30C7E071-F948-48C6-AA32-9B4BCDE9E90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3CC00-AB14-4529-8739-2CB471620E7B}">
  <sheetPr codeName="Sheet2"/>
  <dimension ref="A3:B5"/>
  <sheetViews>
    <sheetView workbookViewId="0">
      <selection activeCell="E4" sqref="E4"/>
    </sheetView>
  </sheetViews>
  <sheetFormatPr defaultRowHeight="15" x14ac:dyDescent="0.25"/>
  <cols>
    <col min="1" max="1" width="13.140625" bestFit="1" customWidth="1"/>
    <col min="2" max="2" width="15" bestFit="1" customWidth="1"/>
  </cols>
  <sheetData>
    <row r="3" spans="1:2" x14ac:dyDescent="0.25">
      <c r="A3" s="34" t="s">
        <v>20</v>
      </c>
      <c r="B3" t="s">
        <v>22</v>
      </c>
    </row>
    <row r="4" spans="1:2" x14ac:dyDescent="0.25">
      <c r="A4" s="35" t="s">
        <v>24</v>
      </c>
      <c r="B4" s="49">
        <v>0</v>
      </c>
    </row>
    <row r="5" spans="1:2" x14ac:dyDescent="0.25">
      <c r="A5" s="35" t="s">
        <v>21</v>
      </c>
      <c r="B5" s="49">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Fixture</vt:lpstr>
      <vt:lpstr>Mailing List</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 McIntyre</dc:creator>
  <cp:lastModifiedBy>Will McIntyre</cp:lastModifiedBy>
  <dcterms:created xsi:type="dcterms:W3CDTF">2015-06-05T18:17:20Z</dcterms:created>
  <dcterms:modified xsi:type="dcterms:W3CDTF">2023-06-29T18:45:41Z</dcterms:modified>
</cp:coreProperties>
</file>